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lexfeld/dev-v19-lokal/addons/kalkulations_sync/static/templates/"/>
    </mc:Choice>
  </mc:AlternateContent>
  <xr:revisionPtr revIDLastSave="0" documentId="13_ncr:1_{5F0B67B6-0250-5243-A41C-132BD1D99CE8}" xr6:coauthVersionLast="47" xr6:coauthVersionMax="47" xr10:uidLastSave="{00000000-0000-0000-0000-000000000000}"/>
  <bookViews>
    <workbookView xWindow="920" yWindow="1660" windowWidth="29320" windowHeight="17820" tabRatio="500" xr2:uid="{00000000-000D-0000-FFFF-FFFF00000000}"/>
  </bookViews>
  <sheets>
    <sheet name="Kalkulation Holztüren" sheetId="1" r:id="rId1"/>
  </sheets>
  <definedNames>
    <definedName name="_xlnm._FilterDatabase" localSheetId="0" hidden="1">'Kalkulation Holztüren'!$B$2:$W$2</definedName>
    <definedName name="_xlnm.Print_Titles" localSheetId="0">'Kalkulation Holztüren'!$2:$2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8" i="1" l="1"/>
  <c r="R17" i="1"/>
  <c r="W18" i="1" s="1"/>
  <c r="W13" i="1"/>
  <c r="V13" i="1"/>
  <c r="W8" i="1"/>
  <c r="V8" i="1"/>
  <c r="W3" i="1"/>
  <c r="W5" i="1" s="1"/>
  <c r="U3" i="1"/>
  <c r="U5" i="1" s="1"/>
  <c r="T3" i="1"/>
  <c r="T5" i="1" s="1"/>
  <c r="T9" i="1" s="1"/>
  <c r="S3" i="1"/>
  <c r="X3" i="1" s="1"/>
  <c r="R3" i="1"/>
  <c r="V3" i="1" s="1"/>
  <c r="S19" i="1" l="1"/>
  <c r="W6" i="1"/>
  <c r="W7" i="1" s="1"/>
  <c r="U19" i="1"/>
  <c r="U9" i="1"/>
  <c r="Y3" i="1"/>
  <c r="Z3" i="1"/>
  <c r="S5" i="1"/>
  <c r="S9" i="1" s="1"/>
  <c r="W10" i="1" l="1"/>
  <c r="U20" i="1"/>
  <c r="W15" i="1" s="1"/>
  <c r="S20" i="1"/>
  <c r="W14" i="1" s="1"/>
  <c r="W9" i="1"/>
  <c r="S21" i="1"/>
  <c r="U21" i="1" s="1"/>
  <c r="S11" i="1"/>
  <c r="S10" i="1"/>
  <c r="S12" i="1" s="1"/>
  <c r="U12" i="1" l="1"/>
  <c r="W16" i="1"/>
  <c r="W17" i="1" s="1"/>
  <c r="W11" i="1"/>
  <c r="W12" i="1" s="1"/>
  <c r="S15" i="1"/>
  <c r="S16" i="1"/>
  <c r="U15" i="1"/>
  <c r="S14" i="1"/>
  <c r="S17" i="1" l="1"/>
  <c r="W19" i="1" l="1"/>
  <c r="W20" i="1" s="1"/>
  <c r="W21" i="1" s="1"/>
  <c r="W22" i="1" s="1"/>
  <c r="U17" i="1"/>
  <c r="S22" i="1"/>
  <c r="U22" i="1" s="1"/>
  <c r="T17" i="1"/>
  <c r="T22" i="1" s="1"/>
</calcChain>
</file>

<file path=xl/sharedStrings.xml><?xml version="1.0" encoding="utf-8"?>
<sst xmlns="http://schemas.openxmlformats.org/spreadsheetml/2006/main" count="66" uniqueCount="54">
  <si>
    <t>OZ</t>
  </si>
  <si>
    <t>[price_unit]</t>
  </si>
  <si>
    <t>[purchase_price]</t>
  </si>
  <si>
    <t xml:space="preserve">[material_cost_per_unit] </t>
  </si>
  <si>
    <t>[montage_cost_per_unit]</t>
  </si>
  <si>
    <t>Pos</t>
  </si>
  <si>
    <t>Art
A/B/E/N</t>
  </si>
  <si>
    <t>St.</t>
  </si>
  <si>
    <t>Beschreibung</t>
  </si>
  <si>
    <t>Korrektur
Wert
(Netto)</t>
  </si>
  <si>
    <t>Türblatt</t>
  </si>
  <si>
    <t>Zarge</t>
  </si>
  <si>
    <t>Zarge
Transport</t>
  </si>
  <si>
    <t>Bänder</t>
  </si>
  <si>
    <t>Schloß</t>
  </si>
  <si>
    <t>Türstopper</t>
  </si>
  <si>
    <t>OTS</t>
  </si>
  <si>
    <t>Zulagen</t>
  </si>
  <si>
    <t>Drücker</t>
  </si>
  <si>
    <t>Montage
material</t>
  </si>
  <si>
    <t>Montage</t>
  </si>
  <si>
    <t>Material
gesamt</t>
  </si>
  <si>
    <t>Montage
gesamt</t>
  </si>
  <si>
    <t>Zuschlag
gesamt</t>
  </si>
  <si>
    <t>EP</t>
  </si>
  <si>
    <t>Gesamt</t>
  </si>
  <si>
    <t>{{line.id}}</t>
  </si>
  <si>
    <t>{{line.gaeb_oz}}</t>
  </si>
  <si>
    <t>{{line.gaeb_pos_type}}</t>
  </si>
  <si>
    <t>{{line.name}}</t>
  </si>
  <si>
    <t>Netto</t>
  </si>
  <si>
    <t>MwSt.</t>
  </si>
  <si>
    <t>Brutto</t>
  </si>
  <si>
    <t>Material</t>
  </si>
  <si>
    <t>Verhältnis</t>
  </si>
  <si>
    <t>Einkauf</t>
  </si>
  <si>
    <t>Nachlass EK</t>
  </si>
  <si>
    <t>Skonti EK</t>
  </si>
  <si>
    <t>Abzüge</t>
  </si>
  <si>
    <t xml:space="preserve"> </t>
  </si>
  <si>
    <t>Umlagekosten</t>
  </si>
  <si>
    <t>Bürgschaft 5Y</t>
  </si>
  <si>
    <t>Versicherung</t>
  </si>
  <si>
    <t>Sonstiges</t>
  </si>
  <si>
    <t>Umlage</t>
  </si>
  <si>
    <t>Verkauf</t>
  </si>
  <si>
    <t>Nachlass</t>
  </si>
  <si>
    <t>Netto Auftrag</t>
  </si>
  <si>
    <t>Skonto</t>
  </si>
  <si>
    <t>abzgl. Skonto</t>
  </si>
  <si>
    <t>Gesamtnachlass</t>
  </si>
  <si>
    <t>Deckungsbeitrag</t>
  </si>
  <si>
    <t xml:space="preserve">	{{line.gaeb_original_qty}}</t>
  </si>
  <si>
    <t>[gaeb_original_qty]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</si>
</sst>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&quot; €&quot;"/>
    <numFmt numFmtId="165" formatCode="0.00\ %"/>
    <numFmt numFmtId="166" formatCode="0.0%"/>
    <numFmt numFmtId="167" formatCode="#,##0.00&quot; €&quot;;\-#,##0.00&quot; €&quot;"/>
    <numFmt numFmtId="168" formatCode="_-* #,##0.00\ [$€]_-;\-* #,##0.00\ [$€]_-;_-* \-??\ [$€]_-;_-@_-"/>
  </numFmts>
  <fonts count="4" x14ac:knownFonts="1">
    <font>
      <sz val="10"/>
      <name val="Arial"/>
      <charset val="1"/>
    </font>
    <font>
      <sz val="11"/>
      <name val="Arial Narrow"/>
      <family val="2"/>
      <charset val="1"/>
    </font>
    <font>
      <b/>
      <sz val="11"/>
      <name val="Arial Narrow"/>
      <family val="2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BEEF4"/>
        <bgColor rgb="FFEBF1DE"/>
      </patternFill>
    </fill>
    <fill>
      <patternFill patternType="solid">
        <fgColor rgb="FFD9D9D9"/>
        <bgColor rgb="FFDBEEF4"/>
      </patternFill>
    </fill>
    <fill>
      <patternFill patternType="solid">
        <fgColor rgb="FFEBF1DE"/>
        <bgColor rgb="FFDBEEF4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168" fontId="3" fillId="0" borderId="0"/>
  </cellStyleXfs>
  <cellXfs count="69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49" fontId="2" fillId="2" borderId="3" xfId="0" applyNumberFormat="1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 applyProtection="1">
      <alignment horizontal="center" vertical="center" textRotation="90" wrapText="1"/>
      <protection locked="0"/>
    </xf>
    <xf numFmtId="0" fontId="2" fillId="2" borderId="4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 applyProtection="1">
      <alignment horizontal="center" vertical="center"/>
      <protection locked="0"/>
    </xf>
    <xf numFmtId="164" fontId="2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2" fillId="0" borderId="5" xfId="0" applyNumberFormat="1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 wrapText="1"/>
      <protection locked="0"/>
    </xf>
    <xf numFmtId="165" fontId="2" fillId="0" borderId="2" xfId="0" applyNumberFormat="1" applyFont="1" applyBorder="1" applyAlignment="1" applyProtection="1">
      <alignment horizontal="center" vertical="center"/>
      <protection locked="0"/>
    </xf>
    <xf numFmtId="0" fontId="2" fillId="4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 applyProtection="1">
      <alignment horizontal="center" vertical="center"/>
      <protection locked="0"/>
    </xf>
    <xf numFmtId="3" fontId="1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5" xfId="0" applyNumberFormat="1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2" xfId="1" applyNumberFormat="1" applyFont="1" applyBorder="1" applyAlignment="1">
      <alignment horizontal="center" vertical="center"/>
    </xf>
    <xf numFmtId="164" fontId="1" fillId="4" borderId="6" xfId="1" applyNumberFormat="1" applyFont="1" applyFill="1" applyBorder="1" applyAlignment="1">
      <alignment horizontal="right" vertical="center"/>
    </xf>
    <xf numFmtId="164" fontId="1" fillId="4" borderId="1" xfId="1" applyNumberFormat="1" applyFont="1" applyFill="1" applyBorder="1" applyAlignment="1">
      <alignment horizontal="right" vertical="center"/>
    </xf>
    <xf numFmtId="164" fontId="1" fillId="4" borderId="7" xfId="1" applyNumberFormat="1" applyFont="1" applyFill="1" applyBorder="1" applyAlignment="1">
      <alignment horizontal="right" vertical="center"/>
    </xf>
    <xf numFmtId="164" fontId="1" fillId="0" borderId="5" xfId="1" applyNumberFormat="1" applyFont="1" applyBorder="1" applyAlignment="1">
      <alignment horizontal="right" vertical="center"/>
    </xf>
    <xf numFmtId="49" fontId="1" fillId="0" borderId="0" xfId="0" applyNumberFormat="1" applyFont="1" applyAlignment="1" applyProtection="1">
      <alignment horizontal="center" vertical="center"/>
      <protection locked="0"/>
    </xf>
    <xf numFmtId="3" fontId="1" fillId="0" borderId="0" xfId="0" applyNumberFormat="1" applyFont="1" applyAlignment="1" applyProtection="1">
      <alignment horizontal="center" vertical="center"/>
      <protection locked="0"/>
    </xf>
    <xf numFmtId="164" fontId="1" fillId="0" borderId="0" xfId="0" applyNumberFormat="1" applyFont="1" applyAlignment="1" applyProtection="1">
      <alignment horizontal="center" vertical="center"/>
      <protection locked="0"/>
    </xf>
    <xf numFmtId="164" fontId="1" fillId="0" borderId="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2" fillId="4" borderId="10" xfId="1" applyNumberFormat="1" applyFont="1" applyFill="1" applyBorder="1" applyAlignment="1">
      <alignment horizontal="right" vertical="center"/>
    </xf>
    <xf numFmtId="164" fontId="2" fillId="4" borderId="11" xfId="1" applyNumberFormat="1" applyFont="1" applyFill="1" applyBorder="1" applyAlignment="1">
      <alignment horizontal="right" vertical="center"/>
    </xf>
    <xf numFmtId="164" fontId="2" fillId="4" borderId="12" xfId="1" applyNumberFormat="1" applyFont="1" applyFill="1" applyBorder="1" applyAlignment="1">
      <alignment horizontal="righ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6" xfId="1" applyNumberFormat="1" applyFont="1" applyFill="1" applyBorder="1" applyAlignment="1">
      <alignment horizontal="right" vertical="center"/>
    </xf>
    <xf numFmtId="164" fontId="2" fillId="4" borderId="1" xfId="1" applyNumberFormat="1" applyFont="1" applyFill="1" applyBorder="1" applyAlignment="1">
      <alignment horizontal="right" vertical="center"/>
    </xf>
    <xf numFmtId="164" fontId="2" fillId="4" borderId="7" xfId="1" applyNumberFormat="1" applyFont="1" applyFill="1" applyBorder="1" applyAlignment="1">
      <alignment horizontal="right" vertical="center"/>
    </xf>
    <xf numFmtId="164" fontId="2" fillId="0" borderId="13" xfId="0" applyNumberFormat="1" applyFont="1" applyBorder="1" applyAlignment="1">
      <alignment horizontal="left" vertical="center"/>
    </xf>
    <xf numFmtId="164" fontId="2" fillId="4" borderId="15" xfId="1" applyNumberFormat="1" applyFont="1" applyFill="1" applyBorder="1" applyAlignment="1" applyProtection="1">
      <alignment horizontal="left" vertical="center"/>
      <protection locked="0"/>
    </xf>
    <xf numFmtId="164" fontId="2" fillId="4" borderId="8" xfId="1" applyNumberFormat="1" applyFont="1" applyFill="1" applyBorder="1" applyAlignment="1" applyProtection="1">
      <alignment horizontal="left" vertical="center"/>
      <protection locked="0"/>
    </xf>
    <xf numFmtId="164" fontId="2" fillId="4" borderId="1" xfId="0" applyNumberFormat="1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166" fontId="2" fillId="4" borderId="3" xfId="0" applyNumberFormat="1" applyFont="1" applyFill="1" applyBorder="1" applyAlignment="1" applyProtection="1">
      <alignment horizontal="left" vertical="center"/>
      <protection locked="0"/>
    </xf>
    <xf numFmtId="164" fontId="2" fillId="4" borderId="10" xfId="1" applyNumberFormat="1" applyFont="1" applyFill="1" applyBorder="1" applyAlignment="1" applyProtection="1">
      <alignment horizontal="left" vertical="center"/>
      <protection locked="0"/>
    </xf>
    <xf numFmtId="164" fontId="1" fillId="4" borderId="5" xfId="0" applyNumberFormat="1" applyFont="1" applyFill="1" applyBorder="1" applyAlignment="1" applyProtection="1">
      <alignment horizontal="center" vertical="center"/>
      <protection locked="0"/>
    </xf>
    <xf numFmtId="165" fontId="2" fillId="4" borderId="2" xfId="0" applyNumberFormat="1" applyFont="1" applyFill="1" applyBorder="1" applyAlignment="1">
      <alignment horizontal="center" vertical="center"/>
    </xf>
    <xf numFmtId="164" fontId="1" fillId="4" borderId="10" xfId="1" applyNumberFormat="1" applyFont="1" applyFill="1" applyBorder="1" applyAlignment="1" applyProtection="1">
      <alignment horizontal="left" vertical="center"/>
      <protection locked="0"/>
    </xf>
    <xf numFmtId="165" fontId="1" fillId="4" borderId="5" xfId="0" applyNumberFormat="1" applyFont="1" applyFill="1" applyBorder="1" applyAlignment="1" applyProtection="1">
      <alignment horizontal="center" vertical="center"/>
      <protection locked="0"/>
    </xf>
    <xf numFmtId="4" fontId="1" fillId="4" borderId="1" xfId="0" applyNumberFormat="1" applyFont="1" applyFill="1" applyBorder="1" applyAlignment="1">
      <alignment horizontal="center" vertical="center"/>
    </xf>
    <xf numFmtId="4" fontId="1" fillId="4" borderId="2" xfId="0" applyNumberFormat="1" applyFont="1" applyFill="1" applyBorder="1" applyAlignment="1">
      <alignment horizontal="center" vertical="center"/>
    </xf>
    <xf numFmtId="165" fontId="2" fillId="4" borderId="5" xfId="0" applyNumberFormat="1" applyFont="1" applyFill="1" applyBorder="1" applyAlignment="1" applyProtection="1">
      <alignment horizontal="center" vertical="center"/>
      <protection locked="0"/>
    </xf>
    <xf numFmtId="164" fontId="2" fillId="4" borderId="1" xfId="1" applyNumberFormat="1" applyFont="1" applyFill="1" applyBorder="1" applyAlignment="1">
      <alignment horizontal="left" vertical="center"/>
    </xf>
    <xf numFmtId="166" fontId="2" fillId="4" borderId="5" xfId="0" applyNumberFormat="1" applyFont="1" applyFill="1" applyBorder="1" applyAlignment="1" applyProtection="1">
      <alignment horizontal="center" vertical="center"/>
      <protection locked="0"/>
    </xf>
    <xf numFmtId="164" fontId="2" fillId="5" borderId="2" xfId="0" applyNumberFormat="1" applyFont="1" applyFill="1" applyBorder="1" applyAlignment="1">
      <alignment horizontal="right" vertical="center"/>
    </xf>
    <xf numFmtId="164" fontId="2" fillId="6" borderId="16" xfId="1" applyNumberFormat="1" applyFont="1" applyFill="1" applyBorder="1" applyAlignment="1" applyProtection="1">
      <alignment horizontal="left" vertical="center"/>
      <protection locked="0"/>
    </xf>
    <xf numFmtId="166" fontId="2" fillId="6" borderId="17" xfId="0" applyNumberFormat="1" applyFont="1" applyFill="1" applyBorder="1" applyAlignment="1" applyProtection="1">
      <alignment horizontal="center" vertical="center"/>
      <protection locked="0"/>
    </xf>
    <xf numFmtId="164" fontId="2" fillId="6" borderId="18" xfId="1" applyNumberFormat="1" applyFont="1" applyFill="1" applyBorder="1" applyAlignment="1">
      <alignment horizontal="right" vertical="center"/>
    </xf>
    <xf numFmtId="165" fontId="2" fillId="6" borderId="14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1" fillId="0" borderId="1" xfId="1" applyNumberFormat="1" applyFont="1" applyBorder="1" applyAlignment="1">
      <alignment horizontal="right" vertical="center"/>
    </xf>
    <xf numFmtId="164" fontId="2" fillId="0" borderId="1" xfId="1" applyNumberFormat="1" applyFont="1" applyBorder="1" applyAlignment="1">
      <alignment horizontal="right" vertical="center"/>
    </xf>
    <xf numFmtId="164" fontId="2" fillId="0" borderId="18" xfId="1" applyNumberFormat="1" applyFont="1" applyBorder="1" applyAlignment="1">
      <alignment horizontal="right" vertical="center"/>
    </xf>
    <xf numFmtId="165" fontId="2" fillId="4" borderId="4" xfId="0" applyNumberFormat="1" applyFont="1" applyFill="1" applyBorder="1" applyAlignment="1" applyProtection="1">
      <alignment horizontal="center" vertical="center"/>
      <protection locked="0"/>
    </xf>
    <xf numFmtId="167" fontId="2" fillId="0" borderId="1" xfId="1" applyNumberFormat="1" applyFont="1" applyBorder="1" applyAlignment="1">
      <alignment horizontal="right" vertical="center" wrapText="1" shrinkToFit="1"/>
    </xf>
    <xf numFmtId="49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</cellXfs>
  <cellStyles count="2">
    <cellStyle name="Euro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O42"/>
  <sheetViews>
    <sheetView tabSelected="1" zoomScale="143" zoomScaleNormal="162" workbookViewId="0">
      <pane xSplit="5" ySplit="2" topLeftCell="T3" activePane="bottomRight" state="frozen"/>
      <selection pane="topRight" activeCell="E1" sqref="E1"/>
      <selection pane="bottomLeft" activeCell="A2" sqref="A2"/>
      <selection pane="bottomRight" activeCell="E3" sqref="E3"/>
    </sheetView>
  </sheetViews>
  <sheetFormatPr baseColWidth="10" defaultColWidth="11.5" defaultRowHeight="14" x14ac:dyDescent="0.15"/>
  <cols>
    <col min="1" max="1" width="0" hidden="1"/>
    <col min="2" max="2" width="13.33203125" style="66" customWidth="1"/>
    <col min="3" max="3" width="18.6640625" style="66" customWidth="1"/>
    <col min="4" max="4" width="10.6640625" style="67" customWidth="1"/>
    <col min="5" max="5" width="29" style="66" customWidth="1"/>
    <col min="6" max="6" width="11.1640625" style="68" customWidth="1"/>
    <col min="7" max="7" width="10.83203125" style="68" customWidth="1"/>
    <col min="8" max="8" width="8.83203125" style="68" customWidth="1"/>
    <col min="9" max="9" width="9.5" style="68" customWidth="1"/>
    <col min="10" max="10" width="8.83203125" style="68" customWidth="1"/>
    <col min="11" max="11" width="8.5" style="68" customWidth="1"/>
    <col min="12" max="12" width="11" style="68" customWidth="1"/>
    <col min="13" max="15" width="8.6640625" style="68" customWidth="1"/>
    <col min="16" max="16" width="12.1640625" style="68" customWidth="1"/>
    <col min="17" max="17" width="15.83203125" style="68" customWidth="1"/>
    <col min="18" max="18" width="12.5" style="68" customWidth="1"/>
    <col min="19" max="19" width="12.1640625" style="58" customWidth="1"/>
    <col min="20" max="20" width="13.83203125" style="58" customWidth="1"/>
    <col min="21" max="21" width="12.1640625" style="58" customWidth="1"/>
    <col min="22" max="22" width="12.6640625" style="68" customWidth="1"/>
    <col min="23" max="23" width="12.5" style="68" customWidth="1"/>
    <col min="24" max="977" width="11.5" style="58" customWidth="1"/>
  </cols>
  <sheetData>
    <row r="1" spans="1:26" ht="15" customHeight="1" thickBot="1" x14ac:dyDescent="0.2">
      <c r="B1" s="66" t="s">
        <v>0</v>
      </c>
      <c r="D1" s="67" t="s">
        <v>53</v>
      </c>
      <c r="V1" s="68" t="s">
        <v>1</v>
      </c>
      <c r="X1" s="58" t="s">
        <v>2</v>
      </c>
      <c r="Y1" s="58" t="s">
        <v>3</v>
      </c>
      <c r="Z1" s="58" t="s">
        <v>4</v>
      </c>
    </row>
    <row r="2" spans="1:26" s="57" customFormat="1" ht="45" customHeight="1" x14ac:dyDescent="0.15">
      <c r="B2" s="2" t="s">
        <v>5</v>
      </c>
      <c r="C2" s="3" t="s">
        <v>6</v>
      </c>
      <c r="D2" s="4" t="s">
        <v>7</v>
      </c>
      <c r="E2" s="5" t="s">
        <v>8</v>
      </c>
      <c r="F2" s="6" t="s">
        <v>9</v>
      </c>
      <c r="G2" s="7" t="s">
        <v>10</v>
      </c>
      <c r="H2" s="8" t="s">
        <v>11</v>
      </c>
      <c r="I2" s="9" t="s">
        <v>12</v>
      </c>
      <c r="J2" s="8" t="s">
        <v>13</v>
      </c>
      <c r="K2" s="8" t="s">
        <v>14</v>
      </c>
      <c r="L2" s="8" t="s">
        <v>15</v>
      </c>
      <c r="M2" s="8" t="s">
        <v>16</v>
      </c>
      <c r="N2" s="8" t="s">
        <v>17</v>
      </c>
      <c r="O2" s="8" t="s">
        <v>18</v>
      </c>
      <c r="P2" s="9" t="s">
        <v>19</v>
      </c>
      <c r="Q2" s="8" t="s">
        <v>20</v>
      </c>
      <c r="R2" s="10">
        <v>0.5</v>
      </c>
      <c r="S2" s="11" t="s">
        <v>21</v>
      </c>
      <c r="T2" s="12" t="s">
        <v>22</v>
      </c>
      <c r="U2" s="13" t="s">
        <v>23</v>
      </c>
      <c r="V2" s="14" t="s">
        <v>24</v>
      </c>
      <c r="W2" s="60" t="s">
        <v>25</v>
      </c>
    </row>
    <row r="3" spans="1:26" x14ac:dyDescent="0.15">
      <c r="A3" t="s">
        <v>26</v>
      </c>
      <c r="B3" s="15" t="s">
        <v>27</v>
      </c>
      <c r="C3" s="15" t="s">
        <v>28</v>
      </c>
      <c r="D3" s="16" t="s">
        <v>52</v>
      </c>
      <c r="E3" s="15" t="s">
        <v>29</v>
      </c>
      <c r="F3" s="17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9">
        <f>SUM(G3:P3)*R$2</f>
        <v>0</v>
      </c>
      <c r="S3" s="20">
        <f>IF(LOWER(C3)="normal",SUM(G3:P3)*D3,0)</f>
        <v>0</v>
      </c>
      <c r="T3" s="21">
        <f>IF(LOWER(C3)="normal",D3*Q3,0)</f>
        <v>0</v>
      </c>
      <c r="U3" s="22">
        <f>IF(LOWER(C3)="normal",W3-T3-S3,0)</f>
        <v>0</v>
      </c>
      <c r="V3" s="23">
        <f>ROUNDUP(SUM(F3:R3),0)</f>
        <v>0</v>
      </c>
      <c r="W3" s="61">
        <f>IF(LOWER(C3)="normal",D3*V3,0)</f>
        <v>0</v>
      </c>
      <c r="X3" s="58" t="e">
        <f>SUM(S3:T3)/D3</f>
        <v>#VALUE!</v>
      </c>
      <c r="Y3" s="58" t="e">
        <f>S3/D3</f>
        <v>#VALUE!</v>
      </c>
      <c r="Z3" s="58" t="e">
        <f>T3/D3</f>
        <v>#VALUE!</v>
      </c>
    </row>
    <row r="4" spans="1:26" x14ac:dyDescent="0.15">
      <c r="B4" s="24"/>
      <c r="C4" s="24"/>
      <c r="D4" s="25"/>
      <c r="E4" s="24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7"/>
      <c r="S4" s="20"/>
      <c r="T4" s="21"/>
      <c r="U4" s="22"/>
      <c r="V4" s="28"/>
      <c r="W4" s="1"/>
    </row>
    <row r="5" spans="1:26" x14ac:dyDescent="0.15">
      <c r="B5" s="24"/>
      <c r="C5" s="24"/>
      <c r="D5" s="25"/>
      <c r="E5" s="24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7"/>
      <c r="S5" s="29">
        <f>SUM(S3:S4)</f>
        <v>0</v>
      </c>
      <c r="T5" s="30">
        <f>SUM(T3:T4)</f>
        <v>0</v>
      </c>
      <c r="U5" s="31">
        <f>SUM(U3:U4)</f>
        <v>0</v>
      </c>
      <c r="V5" s="32" t="s">
        <v>30</v>
      </c>
      <c r="W5" s="62">
        <f>SUM(W3:W4)</f>
        <v>0</v>
      </c>
    </row>
    <row r="6" spans="1:26" x14ac:dyDescent="0.15">
      <c r="B6" s="24"/>
      <c r="C6" s="24"/>
      <c r="D6" s="25"/>
      <c r="E6" s="24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7"/>
      <c r="S6" s="33"/>
      <c r="T6" s="34"/>
      <c r="U6" s="35"/>
      <c r="V6" s="32" t="s">
        <v>31</v>
      </c>
      <c r="W6" s="62">
        <f>W5 * 0.19</f>
        <v>0</v>
      </c>
    </row>
    <row r="7" spans="1:26" ht="15" customHeight="1" thickBot="1" x14ac:dyDescent="0.2">
      <c r="B7" s="24"/>
      <c r="C7" s="24"/>
      <c r="D7" s="24"/>
      <c r="E7" s="24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7"/>
      <c r="S7" s="33"/>
      <c r="T7" s="34"/>
      <c r="U7" s="35"/>
      <c r="V7" s="36" t="s">
        <v>32</v>
      </c>
      <c r="W7" s="63">
        <f>SUM(W6,W5)</f>
        <v>0</v>
      </c>
    </row>
    <row r="8" spans="1:26" x14ac:dyDescent="0.15">
      <c r="B8" s="24"/>
      <c r="C8" s="24"/>
      <c r="D8" s="24"/>
      <c r="E8" s="24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37"/>
      <c r="R8" s="38"/>
      <c r="S8" s="39" t="s">
        <v>33</v>
      </c>
      <c r="T8" s="39" t="s">
        <v>20</v>
      </c>
      <c r="U8" s="40" t="s">
        <v>34</v>
      </c>
      <c r="V8" s="41" t="str">
        <f>Q19</f>
        <v>Nachlass</v>
      </c>
      <c r="W8" s="64">
        <f>R19</f>
        <v>0.03</v>
      </c>
    </row>
    <row r="9" spans="1:26" x14ac:dyDescent="0.15">
      <c r="B9" s="24"/>
      <c r="C9" s="24"/>
      <c r="D9" s="24"/>
      <c r="E9" s="24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42" t="s">
        <v>35</v>
      </c>
      <c r="R9" s="43"/>
      <c r="S9" s="34">
        <f>S5</f>
        <v>0</v>
      </c>
      <c r="T9" s="34">
        <f>T5</f>
        <v>0</v>
      </c>
      <c r="U9" s="44" t="str">
        <f>IFERROR(1/W5*T9,"-")</f>
        <v>-</v>
      </c>
      <c r="V9" s="28"/>
      <c r="W9" s="62">
        <f>S19</f>
        <v>0</v>
      </c>
    </row>
    <row r="10" spans="1:26" x14ac:dyDescent="0.15">
      <c r="B10" s="24"/>
      <c r="C10" s="24"/>
      <c r="D10" s="24"/>
      <c r="E10" s="24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45" t="s">
        <v>36</v>
      </c>
      <c r="R10" s="46">
        <v>0</v>
      </c>
      <c r="S10" s="21">
        <f>-S9*R10</f>
        <v>0</v>
      </c>
      <c r="T10" s="34"/>
      <c r="U10" s="44"/>
      <c r="V10" s="32" t="s">
        <v>30</v>
      </c>
      <c r="W10" s="62">
        <f>U19</f>
        <v>0</v>
      </c>
    </row>
    <row r="11" spans="1:26" ht="15" x14ac:dyDescent="0.15">
      <c r="B11" s="24"/>
      <c r="C11" s="24"/>
      <c r="D11" s="24"/>
      <c r="E11" s="24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45" t="s">
        <v>37</v>
      </c>
      <c r="R11" s="46">
        <v>0</v>
      </c>
      <c r="S11" s="21">
        <f>-S9*R11</f>
        <v>0</v>
      </c>
      <c r="T11" s="47"/>
      <c r="U11" s="48"/>
      <c r="V11" s="32" t="s">
        <v>31</v>
      </c>
      <c r="W11" s="65">
        <f>W10*0.19</f>
        <v>0</v>
      </c>
    </row>
    <row r="12" spans="1:26" ht="15" customHeight="1" thickBot="1" x14ac:dyDescent="0.2">
      <c r="B12" s="24"/>
      <c r="C12" s="24"/>
      <c r="D12" s="24"/>
      <c r="E12" s="24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42" t="s">
        <v>35</v>
      </c>
      <c r="R12" s="49"/>
      <c r="S12" s="34">
        <f>SUM(S9:S11)</f>
        <v>0</v>
      </c>
      <c r="T12" s="34"/>
      <c r="U12" s="44" t="str">
        <f>IFERROR(1/W5*S12,"-")</f>
        <v>-</v>
      </c>
      <c r="V12" s="36" t="s">
        <v>32</v>
      </c>
      <c r="W12" s="63">
        <f>SUM(W11,W10)</f>
        <v>0</v>
      </c>
    </row>
    <row r="13" spans="1:26" x14ac:dyDescent="0.15">
      <c r="B13" s="24"/>
      <c r="C13" s="24"/>
      <c r="D13" s="24"/>
      <c r="E13" s="24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42" t="s">
        <v>38</v>
      </c>
      <c r="R13" s="49"/>
      <c r="S13" s="47"/>
      <c r="T13" s="34"/>
      <c r="U13" s="44"/>
      <c r="V13" s="41" t="str">
        <f>Q20</f>
        <v>Skonto</v>
      </c>
      <c r="W13" s="64">
        <f>R20</f>
        <v>0.02</v>
      </c>
    </row>
    <row r="14" spans="1:26" x14ac:dyDescent="0.15">
      <c r="B14" s="24"/>
      <c r="C14" s="24"/>
      <c r="D14" s="24"/>
      <c r="E14" s="24"/>
      <c r="F14" s="26"/>
      <c r="G14" s="26"/>
      <c r="H14" s="26" t="s">
        <v>39</v>
      </c>
      <c r="I14" s="26"/>
      <c r="J14" s="26"/>
      <c r="K14" s="26"/>
      <c r="L14" s="26"/>
      <c r="M14" s="26"/>
      <c r="N14" s="26"/>
      <c r="O14" s="26"/>
      <c r="P14" s="26"/>
      <c r="Q14" s="45" t="s">
        <v>40</v>
      </c>
      <c r="R14" s="46">
        <v>0</v>
      </c>
      <c r="S14" s="21">
        <f>-W10*R14</f>
        <v>0</v>
      </c>
      <c r="T14" s="50" t="s">
        <v>41</v>
      </c>
      <c r="U14" s="51">
        <v>5.0000000000000001E-3</v>
      </c>
      <c r="V14" s="28"/>
      <c r="W14" s="62">
        <f>S20</f>
        <v>0</v>
      </c>
    </row>
    <row r="15" spans="1:26" x14ac:dyDescent="0.15">
      <c r="B15" s="24"/>
      <c r="C15" s="24"/>
      <c r="D15" s="24"/>
      <c r="E15" s="24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45" t="s">
        <v>42</v>
      </c>
      <c r="R15" s="46">
        <v>0</v>
      </c>
      <c r="S15" s="21">
        <f>-W10*R15</f>
        <v>0</v>
      </c>
      <c r="T15" s="50" t="s">
        <v>41</v>
      </c>
      <c r="U15" s="34">
        <f>-W10*U14</f>
        <v>0</v>
      </c>
      <c r="V15" s="32" t="s">
        <v>30</v>
      </c>
      <c r="W15" s="62">
        <f>U20</f>
        <v>0</v>
      </c>
    </row>
    <row r="16" spans="1:26" ht="15" x14ac:dyDescent="0.15">
      <c r="B16" s="24"/>
      <c r="C16" s="24"/>
      <c r="D16" s="24"/>
      <c r="E16" s="24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45" t="s">
        <v>43</v>
      </c>
      <c r="R16" s="46">
        <v>2.5000000000000001E-2</v>
      </c>
      <c r="S16" s="21">
        <f>-W10*R16</f>
        <v>0</v>
      </c>
      <c r="T16" s="34"/>
      <c r="U16" s="44"/>
      <c r="V16" s="32" t="s">
        <v>31</v>
      </c>
      <c r="W16" s="65">
        <f>W15*0.19</f>
        <v>0</v>
      </c>
    </row>
    <row r="17" spans="2:23" ht="15" customHeight="1" thickBot="1" x14ac:dyDescent="0.2">
      <c r="B17" s="24"/>
      <c r="C17" s="24"/>
      <c r="D17" s="25"/>
      <c r="E17" s="24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42" t="s">
        <v>44</v>
      </c>
      <c r="R17" s="49">
        <f>SUM(R14:R16)</f>
        <v>2.5000000000000001E-2</v>
      </c>
      <c r="S17" s="34">
        <f>SUM(S14:S16)</f>
        <v>0</v>
      </c>
      <c r="T17" s="34">
        <f>W15+S17</f>
        <v>0</v>
      </c>
      <c r="U17" s="49" t="str">
        <f>IFERROR(-1/W10*S17,"-")</f>
        <v>-</v>
      </c>
      <c r="V17" s="36" t="s">
        <v>32</v>
      </c>
      <c r="W17" s="63">
        <f>SUM(W16,W15)</f>
        <v>0</v>
      </c>
    </row>
    <row r="18" spans="2:23" x14ac:dyDescent="0.15">
      <c r="B18" s="24"/>
      <c r="C18" s="24"/>
      <c r="D18" s="25"/>
      <c r="E18" s="24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42" t="s">
        <v>45</v>
      </c>
      <c r="R18" s="49"/>
      <c r="S18" s="34"/>
      <c r="T18" s="34"/>
      <c r="U18" s="44"/>
      <c r="V18" s="41" t="str">
        <f>Q17</f>
        <v>Umlage</v>
      </c>
      <c r="W18" s="64">
        <f>R17</f>
        <v>2.5000000000000001E-2</v>
      </c>
    </row>
    <row r="19" spans="2:23" x14ac:dyDescent="0.15">
      <c r="B19" s="24"/>
      <c r="C19" s="24"/>
      <c r="D19" s="25"/>
      <c r="E19" s="24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45" t="s">
        <v>46</v>
      </c>
      <c r="R19" s="46">
        <v>0.03</v>
      </c>
      <c r="S19" s="21">
        <f>-W5*R19</f>
        <v>0</v>
      </c>
      <c r="T19" s="50" t="s">
        <v>47</v>
      </c>
      <c r="U19" s="52">
        <f>W5*(1-R19)</f>
        <v>0</v>
      </c>
      <c r="V19" s="28"/>
      <c r="W19" s="62">
        <f>S17</f>
        <v>0</v>
      </c>
    </row>
    <row r="20" spans="2:23" x14ac:dyDescent="0.15">
      <c r="B20" s="24"/>
      <c r="C20" s="24"/>
      <c r="D20" s="25"/>
      <c r="E20" s="24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45" t="s">
        <v>48</v>
      </c>
      <c r="R20" s="46">
        <v>0.02</v>
      </c>
      <c r="S20" s="21">
        <f>-U19*R20</f>
        <v>0</v>
      </c>
      <c r="T20" s="50" t="s">
        <v>49</v>
      </c>
      <c r="U20" s="52">
        <f>U19*(1-R20)</f>
        <v>0</v>
      </c>
      <c r="V20" s="32" t="s">
        <v>30</v>
      </c>
      <c r="W20" s="62">
        <f>W15+W19</f>
        <v>0</v>
      </c>
    </row>
    <row r="21" spans="2:23" ht="15" x14ac:dyDescent="0.15">
      <c r="B21" s="24"/>
      <c r="C21" s="24"/>
      <c r="D21" s="25"/>
      <c r="E21" s="24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42" t="s">
        <v>50</v>
      </c>
      <c r="R21" s="51"/>
      <c r="S21" s="34">
        <f>SUM(S19:S20)</f>
        <v>0</v>
      </c>
      <c r="T21" s="34"/>
      <c r="U21" s="44" t="str">
        <f>IFERROR(-1/W5*S21,"-")</f>
        <v>-</v>
      </c>
      <c r="V21" s="32" t="s">
        <v>31</v>
      </c>
      <c r="W21" s="65">
        <f>W20*0.19</f>
        <v>0</v>
      </c>
    </row>
    <row r="22" spans="2:23" ht="15" customHeight="1" thickBot="1" x14ac:dyDescent="0.2">
      <c r="B22" s="24"/>
      <c r="C22" s="24"/>
      <c r="D22" s="25"/>
      <c r="E22" s="24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53" t="s">
        <v>51</v>
      </c>
      <c r="R22" s="54"/>
      <c r="S22" s="55">
        <f>W5-S12-T9+S17+S21+U15</f>
        <v>0</v>
      </c>
      <c r="T22" s="55">
        <f>T17</f>
        <v>0</v>
      </c>
      <c r="U22" s="56" t="str">
        <f>IFERROR(1/W5*S22,"-")</f>
        <v>-</v>
      </c>
      <c r="V22" s="36" t="s">
        <v>32</v>
      </c>
      <c r="W22" s="63">
        <f>SUM(W21,W20)</f>
        <v>0</v>
      </c>
    </row>
    <row r="23" spans="2:23" s="59" customFormat="1" x14ac:dyDescent="0.15">
      <c r="B23" s="66"/>
      <c r="C23" s="66"/>
      <c r="D23" s="67"/>
      <c r="E23" s="66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58"/>
      <c r="T23" s="58"/>
      <c r="U23" s="58"/>
      <c r="V23" s="68"/>
      <c r="W23" s="68"/>
    </row>
    <row r="42" spans="2:23" s="58" customFormat="1" x14ac:dyDescent="0.15">
      <c r="B42" s="66"/>
      <c r="C42" s="66"/>
      <c r="D42" s="67"/>
      <c r="E42" s="66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V42" s="68"/>
      <c r="W42" s="68"/>
    </row>
  </sheetData>
  <autoFilter ref="B2:W2" xr:uid="{00000000-0009-0000-0000-000000000000}"/>
  <printOptions horizontalCentered="1"/>
  <pageMargins left="0.196527777777778" right="0.196527777777778" top="0.98402777777777795" bottom="0.39305555555555599" header="0.118055555555556" footer="0.196527777777778"/>
  <pageSetup paperSize="9" fitToHeight="0" orientation="landscape" horizontalDpi="300" verticalDpi="300"/>
  <headerFooter>
    <oddHeader>&amp;L&amp;"Arial Narrow,Fett"&amp;11 &amp;Z&amp;F</oddHeader>
    <oddFooter>&amp;L&amp;"Arial Narrow,Fett"&amp;11 &amp;P von &amp;N&amp;C&amp;"Arial Narrow,Fett"&amp;11 &amp;D,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Kalkulation Holztüren</vt:lpstr>
      <vt:lpstr>'Kalkulation Holztüren'!Print_Titles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Werkstatt</dc:creator>
  <cp:lastModifiedBy>Alex Feld</cp:lastModifiedBy>
  <cp:revision>10</cp:revision>
  <dcterms:created xsi:type="dcterms:W3CDTF">2000-11-26T14:42:47Z</dcterms:created>
  <dcterms:modified xsi:type="dcterms:W3CDTF">2026-06-17T21:53:09Z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0x010100D15E78885184FF41AE899123849CF40F</vt:lpwstr>
  </property>
  <property fmtid="{D5CDD505-2E9C-101B-9397-08002B2CF9AE}" pid="3" name="MediaServiceImageTags">
    <vt:lpwstr/>
  </property>
  <property fmtid="{D5CDD505-2E9C-101B-9397-08002B2CF9AE}" pid="4" name="_dlc_DocIdItemGuid">
    <vt:lpwstr>6923ef9c-7197-4153-a728-66f02aff7f37</vt:lpwstr>
  </property>
</Properties>
</file>